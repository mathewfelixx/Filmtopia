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liveholycrossac-my.sharepoint.com/personal/felixm25_holycross_ac_uk/Documents/Computer Science/NEA/FILMTOPIA/FILMTOPIA/"/>
    </mc:Choice>
  </mc:AlternateContent>
  <xr:revisionPtr revIDLastSave="57" documentId="13_ncr:1_{E3B493E5-65F9-4B31-A526-7E2C57131382}" xr6:coauthVersionLast="47" xr6:coauthVersionMax="47" xr10:uidLastSave="{23D3F918-1AE0-4AB5-ADC1-DB5F9E11B3AC}"/>
  <bookViews>
    <workbookView xWindow="-108" yWindow="-108" windowWidth="23256" windowHeight="12456" tabRatio="500" xr2:uid="{00000000-000D-0000-FFFF-FFFF00000000}"/>
  </bookViews>
  <sheets>
    <sheet name="NEA Checklis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5" i="1" l="1"/>
  <c r="B61" i="1"/>
  <c r="B59" i="1"/>
  <c r="B51" i="1"/>
  <c r="B45" i="1"/>
  <c r="B41" i="1"/>
  <c r="B29" i="1"/>
  <c r="B14" i="1"/>
  <c r="B3" i="1"/>
</calcChain>
</file>

<file path=xl/sharedStrings.xml><?xml version="1.0" encoding="utf-8"?>
<sst xmlns="http://schemas.openxmlformats.org/spreadsheetml/2006/main" count="135" uniqueCount="75">
  <si>
    <t>FILMTOPIA — NEA CHECKLIST  (100 marks)</t>
  </si>
  <si>
    <t>1. Discussion   (5 marks)</t>
  </si>
  <si>
    <t>Introduction</t>
  </si>
  <si>
    <t>Done</t>
  </si>
  <si>
    <t>Presentation (PowerPoint + screenshots)</t>
  </si>
  <si>
    <t>Project Proposal</t>
  </si>
  <si>
    <t>Background to the Company</t>
  </si>
  <si>
    <t>Stakeholders</t>
  </si>
  <si>
    <t>Aims (per stakeholder)</t>
  </si>
  <si>
    <t>Limitations</t>
  </si>
  <si>
    <t>How feedback will be gathered</t>
  </si>
  <si>
    <t>Feedback</t>
  </si>
  <si>
    <t>Questions + your response to each</t>
  </si>
  <si>
    <t>2. Investigation   (10 marks)</t>
  </si>
  <si>
    <t>Investigation Plan</t>
  </si>
  <si>
    <t>Investigation</t>
  </si>
  <si>
    <t>Summaries of interviews, questionnaire, observation, records</t>
  </si>
  <si>
    <t>Desk-based research</t>
  </si>
  <si>
    <t>Data Flow Diagram(s)</t>
  </si>
  <si>
    <t>Overview of the Existing System</t>
  </si>
  <si>
    <t>Inputs into Existing System</t>
  </si>
  <si>
    <t>Outputs from Existing System</t>
  </si>
  <si>
    <t>Processing in Existing System</t>
  </si>
  <si>
    <t>Limitations of Existing System</t>
  </si>
  <si>
    <t>Problem Definition</t>
  </si>
  <si>
    <t>Limitations of Proposed Solution</t>
  </si>
  <si>
    <t>Objectives + Evaluation Criteria</t>
  </si>
  <si>
    <t>3. Design   (15 marks)</t>
  </si>
  <si>
    <t>Inputs/Outputs/UI - Intro</t>
  </si>
  <si>
    <t>Not Started</t>
  </si>
  <si>
    <t>UI design per objective</t>
  </si>
  <si>
    <t>Overview Diagram of UI</t>
  </si>
  <si>
    <t>Data Structures/Access - Intro</t>
  </si>
  <si>
    <t>Entity Relationship Design</t>
  </si>
  <si>
    <t>Table Designs</t>
  </si>
  <si>
    <t>Processing Stages - Intro</t>
  </si>
  <si>
    <t>Top-down Design</t>
  </si>
  <si>
    <t>Per objective: description, DFD, pseudocode</t>
  </si>
  <si>
    <t>Validation - Intro</t>
  </si>
  <si>
    <t>Validation design per form</t>
  </si>
  <si>
    <t>4. Prototype   (10 marks)</t>
  </si>
  <si>
    <t>Objectives to be Included in the Prototype</t>
  </si>
  <si>
    <t>Objectives NOT to be Included</t>
  </si>
  <si>
    <t>Evaluation of the Functioning Prototype</t>
  </si>
  <si>
    <t>5. Post-Prototype Refinement of Design   (5 marks)</t>
  </si>
  <si>
    <t>Feedback from third-parties + changes required</t>
  </si>
  <si>
    <t>Post-prototype Inputs/Outputs/UI</t>
  </si>
  <si>
    <t>Post-prototype Data Structures + Access</t>
  </si>
  <si>
    <t>Post-prototype Processing Stages</t>
  </si>
  <si>
    <t>Post-prototype Validation</t>
  </si>
  <si>
    <t>6. Software Development   (25 marks)</t>
  </si>
  <si>
    <t>Finished program (annotated + validated)</t>
  </si>
  <si>
    <t>In Progress</t>
  </si>
  <si>
    <t>Table of all variables + purpose</t>
  </si>
  <si>
    <t>Table of all subroutines + purpose</t>
  </si>
  <si>
    <t>Screenshot of database tables</t>
  </si>
  <si>
    <t>Discuss the validation routines</t>
  </si>
  <si>
    <t>Discuss the UI + why fit for purpose</t>
  </si>
  <si>
    <t>Short user guide</t>
  </si>
  <si>
    <t>7. Developmental Testing   (5 marks)</t>
  </si>
  <si>
    <t>Testing evidence per objective (order you did them)</t>
  </si>
  <si>
    <t>8. Testing   (10 marks)</t>
  </si>
  <si>
    <t>Test Plan</t>
  </si>
  <si>
    <t>Actual Test Runs</t>
  </si>
  <si>
    <t>9. Evaluation   (15 marks)</t>
  </si>
  <si>
    <t>Evaluation of the Testing Process</t>
  </si>
  <si>
    <t>Evaluation of language + justification of tools/techniques</t>
  </si>
  <si>
    <t>Evaluating the Solution (per objective)</t>
  </si>
  <si>
    <t>Comparison to Commercially Available Systems</t>
  </si>
  <si>
    <t>Future Improvements</t>
  </si>
  <si>
    <t>Evaluating My Own Strengths and Weaknesses</t>
  </si>
  <si>
    <t>Potential Changes of Approach</t>
  </si>
  <si>
    <t>kinda weird</t>
  </si>
  <si>
    <t>just working on it now</t>
  </si>
  <si>
    <t>Needs rechecking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</si>
</sst>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222222"/>
      <name val="Arial"/>
      <charset val="1"/>
    </font>
    <font>
      <sz val="9"/>
      <color rgb="FF8A8A8A"/>
      <name val="Arial"/>
      <charset val="1"/>
    </font>
    <font>
      <sz val="11"/>
      <color theme="9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6A0C34"/>
        <bgColor rgb="FF800000"/>
      </patternFill>
    </fill>
    <fill>
      <patternFill patternType="solid">
        <fgColor rgb="FFAD1457"/>
        <bgColor rgb="FF993366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center" vertical="center"/>
    </xf>
    <xf numFmtId="0" fontId="0" fillId="5" borderId="0" xfId="0" applyFill="1"/>
    <xf numFmtId="0" fontId="0" fillId="4" borderId="0" xfId="0" applyFill="1"/>
    <xf numFmtId="0" fontId="0" fillId="6" borderId="0" xfId="0" applyFill="1"/>
    <xf numFmtId="0" fontId="6" fillId="6" borderId="0" xfId="0" applyFont="1" applyFill="1"/>
    <xf numFmtId="0" fontId="1" fillId="2" borderId="0" xfId="0" applyFont="1" applyFill="1" applyAlignment="1">
      <alignment horizontal="left" vertical="center" indent="1"/>
    </xf>
    <xf numFmtId="0" fontId="0" fillId="7" borderId="0" xfId="0" applyFill="1"/>
  </cellXfs>
  <cellStyles count="1">
    <cellStyle name="Normal" xfId="0" builtinId="0"/>
  </cellStyles>
  <dxfs count="2">
    <dxf>
      <font>
        <b/>
        <sz val="9"/>
        <color rgb="FF8A6100"/>
        <name val="Arial"/>
        <charset val="1"/>
      </font>
      <fill>
        <patternFill>
          <bgColor rgb="FFFFECB3"/>
        </patternFill>
      </fill>
    </dxf>
    <dxf>
      <font>
        <b/>
        <sz val="9"/>
        <color rgb="FF1B5E20"/>
        <name val="Arial"/>
        <charset val="1"/>
      </font>
      <fill>
        <patternFill>
          <bgColor rgb="FFC8E6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A6100"/>
      <rgbColor rgb="FF800080"/>
      <rgbColor rgb="FF008080"/>
      <rgbColor rgb="FFC0C0C0"/>
      <rgbColor rgb="FF8A8A8A"/>
      <rgbColor rgb="FF9999FF"/>
      <rgbColor rgb="FFAD1457"/>
      <rgbColor rgb="FFFFECB3"/>
      <rgbColor rgb="FFCCFFFF"/>
      <rgbColor rgb="FF6A0C34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showGridLines="0" tabSelected="1" zoomScaleNormal="100" workbookViewId="0">
      <pane ySplit="2" topLeftCell="A49" activePane="bottomLeft" state="frozen"/>
      <selection pane="bottomLeft" activeCell="F46" sqref="F46"/>
    </sheetView>
  </sheetViews>
  <sheetFormatPr defaultColWidth="8.6640625" defaultRowHeight="14.4" x14ac:dyDescent="0.3"/>
  <cols>
    <col min="1" max="1" width="58" customWidth="1"/>
    <col min="2" max="2" width="16" customWidth="1"/>
  </cols>
  <sheetData>
    <row r="1" spans="1:3" ht="30" customHeight="1" x14ac:dyDescent="0.3">
      <c r="A1" s="9" t="s">
        <v>0</v>
      </c>
      <c r="B1" s="9"/>
    </row>
    <row r="3" spans="1:3" ht="21.75" customHeight="1" x14ac:dyDescent="0.3">
      <c r="A3" s="1" t="s">
        <v>1</v>
      </c>
      <c r="B3" s="2" t="str">
        <f>COUNTIF(B4:B13,"Done")&amp;"/"&amp;10</f>
        <v>10/10</v>
      </c>
    </row>
    <row r="4" spans="1:3" ht="19.5" customHeight="1" x14ac:dyDescent="0.3">
      <c r="A4" s="3" t="s">
        <v>2</v>
      </c>
      <c r="B4" s="4" t="s">
        <v>3</v>
      </c>
      <c r="C4" s="7"/>
    </row>
    <row r="5" spans="1:3" ht="19.5" customHeight="1" x14ac:dyDescent="0.3">
      <c r="A5" s="3" t="s">
        <v>4</v>
      </c>
      <c r="B5" s="4" t="s">
        <v>3</v>
      </c>
      <c r="C5" s="7"/>
    </row>
    <row r="6" spans="1:3" ht="19.5" customHeight="1" x14ac:dyDescent="0.3">
      <c r="A6" s="3" t="s">
        <v>5</v>
      </c>
      <c r="B6" s="4" t="s">
        <v>3</v>
      </c>
      <c r="C6" s="7"/>
    </row>
    <row r="7" spans="1:3" ht="19.5" customHeight="1" x14ac:dyDescent="0.3">
      <c r="A7" s="3" t="s">
        <v>6</v>
      </c>
      <c r="B7" s="4" t="s">
        <v>3</v>
      </c>
      <c r="C7" s="7"/>
    </row>
    <row r="8" spans="1:3" ht="19.5" customHeight="1" x14ac:dyDescent="0.3">
      <c r="A8" s="3" t="s">
        <v>7</v>
      </c>
      <c r="B8" s="4" t="s">
        <v>3</v>
      </c>
      <c r="C8" s="7"/>
    </row>
    <row r="9" spans="1:3" ht="19.5" customHeight="1" x14ac:dyDescent="0.3">
      <c r="A9" s="3" t="s">
        <v>8</v>
      </c>
      <c r="B9" s="4" t="s">
        <v>3</v>
      </c>
      <c r="C9" s="7"/>
    </row>
    <row r="10" spans="1:3" ht="19.5" customHeight="1" x14ac:dyDescent="0.3">
      <c r="A10" s="3" t="s">
        <v>9</v>
      </c>
      <c r="B10" s="4" t="s">
        <v>3</v>
      </c>
      <c r="C10" s="7"/>
    </row>
    <row r="11" spans="1:3" ht="19.5" customHeight="1" x14ac:dyDescent="0.3">
      <c r="A11" s="3" t="s">
        <v>10</v>
      </c>
      <c r="B11" s="4" t="s">
        <v>3</v>
      </c>
      <c r="C11" s="7"/>
    </row>
    <row r="12" spans="1:3" ht="19.5" customHeight="1" x14ac:dyDescent="0.3">
      <c r="A12" s="3" t="s">
        <v>11</v>
      </c>
      <c r="B12" s="4" t="s">
        <v>3</v>
      </c>
      <c r="C12" s="7"/>
    </row>
    <row r="13" spans="1:3" ht="19.5" customHeight="1" x14ac:dyDescent="0.3">
      <c r="A13" s="3" t="s">
        <v>12</v>
      </c>
      <c r="B13" s="4" t="s">
        <v>3</v>
      </c>
      <c r="C13" s="7"/>
    </row>
    <row r="14" spans="1:3" ht="21.75" customHeight="1" x14ac:dyDescent="0.3">
      <c r="A14" s="1" t="s">
        <v>13</v>
      </c>
      <c r="B14" s="2" t="str">
        <f>COUNTIF(B15:B28,"Done")&amp;"/"&amp;14</f>
        <v>14/14</v>
      </c>
    </row>
    <row r="15" spans="1:3" ht="19.5" customHeight="1" x14ac:dyDescent="0.3">
      <c r="A15" s="3" t="s">
        <v>2</v>
      </c>
      <c r="B15" s="4" t="s">
        <v>3</v>
      </c>
      <c r="C15" s="7"/>
    </row>
    <row r="16" spans="1:3" ht="19.5" customHeight="1" x14ac:dyDescent="0.3">
      <c r="A16" s="3" t="s">
        <v>14</v>
      </c>
      <c r="B16" s="4" t="s">
        <v>3</v>
      </c>
      <c r="C16" s="7"/>
    </row>
    <row r="17" spans="1:11" ht="19.5" customHeight="1" x14ac:dyDescent="0.3">
      <c r="A17" s="3" t="s">
        <v>15</v>
      </c>
      <c r="B17" s="4" t="s">
        <v>3</v>
      </c>
      <c r="C17" s="7"/>
    </row>
    <row r="18" spans="1:11" ht="19.5" customHeight="1" x14ac:dyDescent="0.3">
      <c r="A18" s="3" t="s">
        <v>16</v>
      </c>
      <c r="B18" s="4" t="s">
        <v>3</v>
      </c>
      <c r="C18" s="7"/>
    </row>
    <row r="19" spans="1:11" ht="19.5" customHeight="1" x14ac:dyDescent="0.3">
      <c r="A19" s="3" t="s">
        <v>17</v>
      </c>
      <c r="B19" s="4" t="s">
        <v>3</v>
      </c>
      <c r="C19" s="7"/>
    </row>
    <row r="20" spans="1:11" ht="19.5" customHeight="1" x14ac:dyDescent="0.3">
      <c r="A20" s="3" t="s">
        <v>18</v>
      </c>
      <c r="B20" s="4" t="s">
        <v>3</v>
      </c>
      <c r="C20" s="7"/>
    </row>
    <row r="21" spans="1:11" ht="19.5" customHeight="1" x14ac:dyDescent="0.3">
      <c r="A21" s="3" t="s">
        <v>19</v>
      </c>
      <c r="B21" s="4" t="s">
        <v>3</v>
      </c>
      <c r="C21" s="7"/>
    </row>
    <row r="22" spans="1:11" ht="19.5" customHeight="1" x14ac:dyDescent="0.3">
      <c r="A22" s="3" t="s">
        <v>20</v>
      </c>
      <c r="B22" s="4" t="s">
        <v>3</v>
      </c>
      <c r="C22" s="7"/>
    </row>
    <row r="23" spans="1:11" ht="19.5" customHeight="1" x14ac:dyDescent="0.3">
      <c r="A23" s="3" t="s">
        <v>21</v>
      </c>
      <c r="B23" s="4" t="s">
        <v>3</v>
      </c>
      <c r="C23" s="7"/>
    </row>
    <row r="24" spans="1:11" ht="19.5" customHeight="1" x14ac:dyDescent="0.3">
      <c r="A24" s="3" t="s">
        <v>22</v>
      </c>
      <c r="B24" s="4" t="s">
        <v>3</v>
      </c>
      <c r="C24" s="7"/>
    </row>
    <row r="25" spans="1:11" ht="19.5" customHeight="1" x14ac:dyDescent="0.3">
      <c r="A25" s="3" t="s">
        <v>23</v>
      </c>
      <c r="B25" s="4" t="s">
        <v>3</v>
      </c>
      <c r="C25" s="7"/>
    </row>
    <row r="26" spans="1:11" ht="19.5" customHeight="1" x14ac:dyDescent="0.3">
      <c r="A26" s="3" t="s">
        <v>24</v>
      </c>
      <c r="B26" s="4" t="s">
        <v>3</v>
      </c>
      <c r="C26" s="7"/>
    </row>
    <row r="27" spans="1:11" ht="19.5" customHeight="1" x14ac:dyDescent="0.3">
      <c r="A27" s="3" t="s">
        <v>25</v>
      </c>
      <c r="B27" s="4" t="s">
        <v>3</v>
      </c>
      <c r="C27" s="7"/>
    </row>
    <row r="28" spans="1:11" ht="19.5" customHeight="1" x14ac:dyDescent="0.3">
      <c r="A28" s="3" t="s">
        <v>26</v>
      </c>
      <c r="B28" s="4" t="s">
        <v>3</v>
      </c>
      <c r="C28" s="7"/>
    </row>
    <row r="29" spans="1:11" ht="21.75" customHeight="1" x14ac:dyDescent="0.3">
      <c r="A29" s="1" t="s">
        <v>27</v>
      </c>
      <c r="B29" s="2" t="str">
        <f>COUNTIF(B30:B40,"Done")&amp;"/"&amp;11</f>
        <v>11/11</v>
      </c>
    </row>
    <row r="30" spans="1:11" ht="19.5" customHeight="1" x14ac:dyDescent="0.3">
      <c r="A30" s="3" t="s">
        <v>28</v>
      </c>
      <c r="B30" s="4" t="s">
        <v>3</v>
      </c>
      <c r="C30" s="7"/>
      <c r="J30" s="5" t="s">
        <v>72</v>
      </c>
      <c r="K30" s="5"/>
    </row>
    <row r="31" spans="1:11" ht="19.5" customHeight="1" x14ac:dyDescent="0.3">
      <c r="A31" s="3" t="s">
        <v>30</v>
      </c>
      <c r="B31" s="4" t="s">
        <v>3</v>
      </c>
      <c r="C31" s="8"/>
      <c r="J31" s="6" t="s">
        <v>73</v>
      </c>
      <c r="K31" s="6"/>
    </row>
    <row r="32" spans="1:11" ht="19.5" customHeight="1" x14ac:dyDescent="0.3">
      <c r="A32" s="3" t="s">
        <v>31</v>
      </c>
      <c r="B32" s="4" t="s">
        <v>3</v>
      </c>
      <c r="C32" s="7"/>
      <c r="J32" s="7" t="s">
        <v>74</v>
      </c>
      <c r="K32" s="7"/>
    </row>
    <row r="33" spans="1:3" ht="19.5" customHeight="1" x14ac:dyDescent="0.3">
      <c r="A33" s="3" t="s">
        <v>32</v>
      </c>
      <c r="B33" s="4" t="s">
        <v>3</v>
      </c>
      <c r="C33" s="7"/>
    </row>
    <row r="34" spans="1:3" ht="19.5" customHeight="1" x14ac:dyDescent="0.3">
      <c r="A34" s="3" t="s">
        <v>33</v>
      </c>
      <c r="B34" s="4" t="s">
        <v>3</v>
      </c>
      <c r="C34" s="7"/>
    </row>
    <row r="35" spans="1:3" ht="19.5" customHeight="1" x14ac:dyDescent="0.3">
      <c r="A35" s="3" t="s">
        <v>34</v>
      </c>
      <c r="B35" s="4" t="s">
        <v>3</v>
      </c>
      <c r="C35" s="7"/>
    </row>
    <row r="36" spans="1:3" ht="19.5" customHeight="1" x14ac:dyDescent="0.3">
      <c r="A36" s="3" t="s">
        <v>35</v>
      </c>
      <c r="B36" s="4" t="s">
        <v>3</v>
      </c>
      <c r="C36" s="7"/>
    </row>
    <row r="37" spans="1:3" ht="19.5" customHeight="1" x14ac:dyDescent="0.3">
      <c r="A37" s="3" t="s">
        <v>36</v>
      </c>
      <c r="B37" s="4" t="s">
        <v>3</v>
      </c>
      <c r="C37" s="7"/>
    </row>
    <row r="38" spans="1:3" ht="19.5" customHeight="1" x14ac:dyDescent="0.3">
      <c r="A38" s="3" t="s">
        <v>37</v>
      </c>
      <c r="B38" s="4" t="s">
        <v>3</v>
      </c>
      <c r="C38" s="7"/>
    </row>
    <row r="39" spans="1:3" ht="19.5" customHeight="1" x14ac:dyDescent="0.3">
      <c r="A39" s="3" t="s">
        <v>38</v>
      </c>
      <c r="B39" s="4" t="s">
        <v>3</v>
      </c>
      <c r="C39" s="7"/>
    </row>
    <row r="40" spans="1:3" ht="19.5" customHeight="1" x14ac:dyDescent="0.3">
      <c r="A40" s="3" t="s">
        <v>39</v>
      </c>
      <c r="B40" s="4" t="s">
        <v>3</v>
      </c>
      <c r="C40" s="7"/>
    </row>
    <row r="41" spans="1:3" ht="21.75" customHeight="1" x14ac:dyDescent="0.3">
      <c r="A41" s="1" t="s">
        <v>40</v>
      </c>
      <c r="B41" s="2" t="str">
        <f>COUNTIF(B42:B44,"Done")&amp;"/"&amp;3</f>
        <v>3/3</v>
      </c>
    </row>
    <row r="42" spans="1:3" ht="19.5" customHeight="1" x14ac:dyDescent="0.3">
      <c r="A42" s="3" t="s">
        <v>41</v>
      </c>
      <c r="B42" s="4" t="s">
        <v>3</v>
      </c>
      <c r="C42" s="7"/>
    </row>
    <row r="43" spans="1:3" ht="19.5" customHeight="1" x14ac:dyDescent="0.3">
      <c r="A43" s="3" t="s">
        <v>42</v>
      </c>
      <c r="B43" s="4" t="s">
        <v>3</v>
      </c>
      <c r="C43" s="7"/>
    </row>
    <row r="44" spans="1:3" ht="19.5" customHeight="1" x14ac:dyDescent="0.3">
      <c r="A44" s="3" t="s">
        <v>43</v>
      </c>
      <c r="B44" s="4" t="s">
        <v>3</v>
      </c>
      <c r="C44" s="7"/>
    </row>
    <row r="45" spans="1:3" ht="21.75" customHeight="1" x14ac:dyDescent="0.3">
      <c r="A45" s="1" t="s">
        <v>44</v>
      </c>
      <c r="B45" s="2" t="str">
        <f>COUNTIF(B46:B50,"Done")&amp;"/"&amp;5</f>
        <v>0/5</v>
      </c>
      <c r="C45" s="10"/>
    </row>
    <row r="46" spans="1:3" ht="19.5" customHeight="1" x14ac:dyDescent="0.3">
      <c r="A46" s="3" t="s">
        <v>45</v>
      </c>
      <c r="B46" s="4" t="s">
        <v>29</v>
      </c>
    </row>
    <row r="47" spans="1:3" ht="19.5" customHeight="1" x14ac:dyDescent="0.3">
      <c r="A47" s="3" t="s">
        <v>46</v>
      </c>
      <c r="B47" s="4" t="s">
        <v>29</v>
      </c>
    </row>
    <row r="48" spans="1:3" ht="19.5" customHeight="1" x14ac:dyDescent="0.3">
      <c r="A48" s="3" t="s">
        <v>47</v>
      </c>
      <c r="B48" s="4" t="s">
        <v>29</v>
      </c>
    </row>
    <row r="49" spans="1:3" ht="19.5" customHeight="1" x14ac:dyDescent="0.3">
      <c r="A49" s="3" t="s">
        <v>48</v>
      </c>
      <c r="B49" s="4" t="s">
        <v>29</v>
      </c>
    </row>
    <row r="50" spans="1:3" ht="19.5" customHeight="1" x14ac:dyDescent="0.3">
      <c r="A50" s="3" t="s">
        <v>49</v>
      </c>
      <c r="B50" s="4" t="s">
        <v>29</v>
      </c>
    </row>
    <row r="51" spans="1:3" ht="21.75" customHeight="1" x14ac:dyDescent="0.3">
      <c r="A51" s="1" t="s">
        <v>50</v>
      </c>
      <c r="B51" s="2" t="str">
        <f>COUNTIF(B52:B58,"Done")&amp;"/"&amp;7</f>
        <v>0/7</v>
      </c>
    </row>
    <row r="52" spans="1:3" ht="19.5" customHeight="1" x14ac:dyDescent="0.3">
      <c r="A52" s="3" t="s">
        <v>51</v>
      </c>
      <c r="B52" s="4" t="s">
        <v>52</v>
      </c>
      <c r="C52" s="5"/>
    </row>
    <row r="53" spans="1:3" ht="19.5" customHeight="1" x14ac:dyDescent="0.3">
      <c r="A53" s="3" t="s">
        <v>53</v>
      </c>
      <c r="B53" s="4" t="s">
        <v>29</v>
      </c>
    </row>
    <row r="54" spans="1:3" ht="19.5" customHeight="1" x14ac:dyDescent="0.3">
      <c r="A54" s="3" t="s">
        <v>54</v>
      </c>
      <c r="B54" s="4" t="s">
        <v>29</v>
      </c>
    </row>
    <row r="55" spans="1:3" ht="19.5" customHeight="1" x14ac:dyDescent="0.3">
      <c r="A55" s="3" t="s">
        <v>55</v>
      </c>
      <c r="B55" s="4" t="s">
        <v>29</v>
      </c>
    </row>
    <row r="56" spans="1:3" ht="19.5" customHeight="1" x14ac:dyDescent="0.3">
      <c r="A56" s="3" t="s">
        <v>56</v>
      </c>
      <c r="B56" s="4" t="s">
        <v>29</v>
      </c>
    </row>
    <row r="57" spans="1:3" ht="19.5" customHeight="1" x14ac:dyDescent="0.3">
      <c r="A57" s="3" t="s">
        <v>57</v>
      </c>
      <c r="B57" s="4" t="s">
        <v>29</v>
      </c>
    </row>
    <row r="58" spans="1:3" ht="19.5" customHeight="1" x14ac:dyDescent="0.3">
      <c r="A58" s="3" t="s">
        <v>58</v>
      </c>
      <c r="B58" s="4" t="s">
        <v>29</v>
      </c>
    </row>
    <row r="59" spans="1:3" ht="21.75" customHeight="1" x14ac:dyDescent="0.3">
      <c r="A59" s="1" t="s">
        <v>59</v>
      </c>
      <c r="B59" s="2" t="str">
        <f>COUNTIF(B60:B60,"Done")&amp;"/"&amp;1</f>
        <v>0/1</v>
      </c>
    </row>
    <row r="60" spans="1:3" ht="19.5" customHeight="1" x14ac:dyDescent="0.3">
      <c r="A60" s="3" t="s">
        <v>60</v>
      </c>
      <c r="B60" s="4" t="s">
        <v>29</v>
      </c>
    </row>
    <row r="61" spans="1:3" ht="21.75" customHeight="1" x14ac:dyDescent="0.3">
      <c r="A61" s="1" t="s">
        <v>61</v>
      </c>
      <c r="B61" s="2" t="str">
        <f>COUNTIF(B62:B64,"Done")&amp;"/"&amp;3</f>
        <v>2/3</v>
      </c>
    </row>
    <row r="62" spans="1:3" ht="19.5" customHeight="1" x14ac:dyDescent="0.3">
      <c r="A62" s="3" t="s">
        <v>2</v>
      </c>
      <c r="B62" s="4" t="s">
        <v>3</v>
      </c>
    </row>
    <row r="63" spans="1:3" ht="19.5" customHeight="1" x14ac:dyDescent="0.3">
      <c r="A63" s="3" t="s">
        <v>62</v>
      </c>
      <c r="B63" s="4" t="s">
        <v>3</v>
      </c>
    </row>
    <row r="64" spans="1:3" ht="19.5" customHeight="1" x14ac:dyDescent="0.3">
      <c r="A64" s="3" t="s">
        <v>63</v>
      </c>
      <c r="B64" s="4" t="s">
        <v>29</v>
      </c>
    </row>
    <row r="65" spans="1:2" ht="21.75" customHeight="1" x14ac:dyDescent="0.3">
      <c r="A65" s="1" t="s">
        <v>64</v>
      </c>
      <c r="B65" s="2" t="str">
        <f>COUNTIF(B66:B72,"Done")&amp;"/"&amp;7</f>
        <v>0/7</v>
      </c>
    </row>
    <row r="66" spans="1:2" ht="19.5" customHeight="1" x14ac:dyDescent="0.3">
      <c r="A66" s="3" t="s">
        <v>65</v>
      </c>
      <c r="B66" s="4" t="s">
        <v>29</v>
      </c>
    </row>
    <row r="67" spans="1:2" ht="19.5" customHeight="1" x14ac:dyDescent="0.3">
      <c r="A67" s="3" t="s">
        <v>66</v>
      </c>
      <c r="B67" s="4" t="s">
        <v>29</v>
      </c>
    </row>
    <row r="68" spans="1:2" ht="19.5" customHeight="1" x14ac:dyDescent="0.3">
      <c r="A68" s="3" t="s">
        <v>67</v>
      </c>
      <c r="B68" s="4" t="s">
        <v>29</v>
      </c>
    </row>
    <row r="69" spans="1:2" ht="19.5" customHeight="1" x14ac:dyDescent="0.3">
      <c r="A69" s="3" t="s">
        <v>68</v>
      </c>
      <c r="B69" s="4" t="s">
        <v>29</v>
      </c>
    </row>
    <row r="70" spans="1:2" ht="19.5" customHeight="1" x14ac:dyDescent="0.3">
      <c r="A70" s="3" t="s">
        <v>69</v>
      </c>
      <c r="B70" s="4" t="s">
        <v>29</v>
      </c>
    </row>
    <row r="71" spans="1:2" ht="19.5" customHeight="1" x14ac:dyDescent="0.3">
      <c r="A71" s="3" t="s">
        <v>70</v>
      </c>
      <c r="B71" s="4" t="s">
        <v>29</v>
      </c>
    </row>
    <row r="72" spans="1:2" ht="19.5" customHeight="1" x14ac:dyDescent="0.3">
      <c r="A72" s="3" t="s">
        <v>71</v>
      </c>
      <c r="B72" s="4" t="s">
        <v>29</v>
      </c>
    </row>
  </sheetData>
  <mergeCells count="1">
    <mergeCell ref="A1:B1"/>
  </mergeCells>
  <conditionalFormatting sqref="B4:B72">
    <cfRule type="cellIs" dxfId="1" priority="2" operator="equal">
      <formula>"Done"</formula>
    </cfRule>
    <cfRule type="cellIs" dxfId="0" priority="3" operator="equal">
      <formula>"In Progress"</formula>
    </cfRule>
  </conditionalFormatting>
  <dataValidations count="1">
    <dataValidation type="list" allowBlank="1" sqref="B4:B13 B15:B28 B30:B40 B42:B44 B46:B50 B52:B58 B60 B62:B64 B66:B72" xr:uid="{00000000-0002-0000-0000-000000000000}">
      <formula1>"Not Started,In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NEA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Mathew Felix</cp:lastModifiedBy>
  <cp:revision>0</cp:revision>
  <dcterms:created xsi:type="dcterms:W3CDTF">2026-07-06T19:54:18Z</dcterms:created>
  <dcterms:modified xsi:type="dcterms:W3CDTF">2026-07-27T15:59:43Z</dcterms:modified>
  <dc:language>en-US</dc:language>
</cp:coreProperties>
</file>